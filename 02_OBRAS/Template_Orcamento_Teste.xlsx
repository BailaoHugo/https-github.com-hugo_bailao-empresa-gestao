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itulos" state="visible" r:id="rId4"/>
    <sheet sheetId="2" name="Subcapitulos" state="visible" r:id="rId5"/>
    <sheet sheetId="3" name="Catalogo" state="visible" r:id="rId6"/>
    <sheet sheetId="4" name="Input" state="visible" r:id="rId7"/>
    <sheet sheetId="5" name="Orcamento_View" state="visible" r:id="rId8"/>
  </sheets>
  <calcPr calcId="171027"/>
</workbook>
</file>

<file path=xl/sharedStrings.xml><?xml version="1.0" encoding="utf-8"?>
<sst xmlns="http://schemas.openxmlformats.org/spreadsheetml/2006/main" count="169" uniqueCount="62">
  <si>
    <t>Cap</t>
  </si>
  <si>
    <t>Capitulo</t>
  </si>
  <si>
    <t>Ordem</t>
  </si>
  <si>
    <t>Ativo</t>
  </si>
  <si>
    <t>Usar</t>
  </si>
  <si>
    <t>1</t>
  </si>
  <si>
    <t>Demolicoes</t>
  </si>
  <si>
    <t>SIM</t>
  </si>
  <si>
    <t>NAO</t>
  </si>
  <si>
    <t>2</t>
  </si>
  <si>
    <t>Construcao civil</t>
  </si>
  <si>
    <t>12</t>
  </si>
  <si>
    <t>Pinturas</t>
  </si>
  <si>
    <t>Subcap</t>
  </si>
  <si>
    <t>Subcapitulo</t>
  </si>
  <si>
    <t>1.1</t>
  </si>
  <si>
    <t>Demolicoes interiores</t>
  </si>
  <si>
    <t>1.2</t>
  </si>
  <si>
    <t>Remocoes</t>
  </si>
  <si>
    <t>2.1</t>
  </si>
  <si>
    <t>Regularizacoes e bases</t>
  </si>
  <si>
    <t>2.2</t>
  </si>
  <si>
    <t>Rebocos e massas</t>
  </si>
  <si>
    <t>12.1</t>
  </si>
  <si>
    <t>Paredes</t>
  </si>
  <si>
    <t>12.2</t>
  </si>
  <si>
    <t>Tetos</t>
  </si>
  <si>
    <t>Code</t>
  </si>
  <si>
    <t>Desc</t>
  </si>
  <si>
    <t>Unit</t>
  </si>
  <si>
    <t>UseArt</t>
  </si>
  <si>
    <t>1.1.1</t>
  </si>
  <si>
    <t>Demolicao de revestimentos</t>
  </si>
  <si>
    <t>m2</t>
  </si>
  <si>
    <t>1.1.2</t>
  </si>
  <si>
    <t>Demolicao de pavimentos</t>
  </si>
  <si>
    <t>1.2.1</t>
  </si>
  <si>
    <t>Remocao de entulhos</t>
  </si>
  <si>
    <t>vg</t>
  </si>
  <si>
    <t>1.2.2</t>
  </si>
  <si>
    <t>Remocao de caixilharia</t>
  </si>
  <si>
    <t>un</t>
  </si>
  <si>
    <t>2.1.1</t>
  </si>
  <si>
    <t>Regularizacao de bases</t>
  </si>
  <si>
    <t>2.1.2</t>
  </si>
  <si>
    <t>Base de betonilha</t>
  </si>
  <si>
    <t>2.2.1</t>
  </si>
  <si>
    <t>Reboco interior</t>
  </si>
  <si>
    <t>2.2.2</t>
  </si>
  <si>
    <t>Massa de regularizacao</t>
  </si>
  <si>
    <t>12.1.1</t>
  </si>
  <si>
    <t>Pintura de paredes</t>
  </si>
  <si>
    <t>12.1.2</t>
  </si>
  <si>
    <t>Primario de paredes</t>
  </si>
  <si>
    <t>12.2.1</t>
  </si>
  <si>
    <t>Pintura de tetos</t>
  </si>
  <si>
    <t>12.2.2</t>
  </si>
  <si>
    <t>Preparacao de tetos</t>
  </si>
  <si>
    <t>Qty</t>
  </si>
  <si>
    <t>PU_EUR</t>
  </si>
  <si>
    <t>PU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</si>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</sst>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Cap" displayName="tbCap" ref="A1:E4" totalsRowShown="1" headerRowCount="1">
  <autoFilter ref="A1:E4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ap" totalsRowLabel="Total"/>
    <tableColumn id="2" name="Capitulo" totalsRowFunction="none"/>
    <tableColumn id="3" name="Ordem" totalsRowFunction="none"/>
    <tableColumn id="4" name="Ativo" totalsRowFunction="none"/>
    <tableColumn id="5" name="Usar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Sub" displayName="tbSub" ref="A1:F7" totalsRowShown="1" headerRowCount="1">
  <autoFilter ref="A1:F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ap" totalsRowLabel="Total"/>
    <tableColumn id="2" name="Subcap" totalsRowFunction="none"/>
    <tableColumn id="3" name="Subcapitulo" totalsRowFunction="none"/>
    <tableColumn id="4" name="Ordem" totalsRowFunction="none"/>
    <tableColumn id="5" name="Ativo" totalsRowFunction="none"/>
    <tableColumn id="6" name="Usar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Cat" displayName="tbCat" ref="A1:G13" totalsRowShown="1" headerRowCount="1">
  <autoFilter ref="A1:G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ap" totalsRowLabel="Total"/>
    <tableColumn id="2" name="Subcap" totalsRowFunction="none"/>
    <tableColumn id="3" name="Code" totalsRowFunction="none"/>
    <tableColumn id="4" name="Desc" totalsRowFunction="none"/>
    <tableColumn id="5" name="Unit" totalsRowFunction="none"/>
    <tableColumn id="6" name="Ativo" totalsRowFunction="none"/>
    <tableColumn id="7" name="UseArt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Inp" displayName="tbInp" ref="A1:C13" totalsRowShown="1" headerRowCount="1">
  <autoFilter ref="A1:C13">
    <filterColumn colId="0" hiddenButton="1"/>
    <filterColumn colId="1" hiddenButton="1"/>
    <filterColumn colId="2" hiddenButton="1"/>
  </autoFilter>
  <tableColumns count="3">
    <tableColumn id="1" name="Code" totalsRowLabel="Total"/>
    <tableColumn id="2" name="Qty" totalsRowFunction="none"/>
    <tableColumn id="3" name="PU_EUR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8" customWidth="1"/>
    <col min="3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7</v>
      </c>
      <c r="E3" t="s">
        <v>8</v>
      </c>
    </row>
    <row r="4" spans="1:5" x14ac:dyDescent="0.25">
      <c r="A4" t="s">
        <v>11</v>
      </c>
      <c r="B4" t="s">
        <v>12</v>
      </c>
      <c r="C4">
        <v>12</v>
      </c>
      <c r="D4" t="s">
        <v>7</v>
      </c>
      <c r="E4" t="s">
        <v>8</v>
      </c>
    </row>
  </sheetData>
  <dataValidations count="2">
    <dataValidation type="list" allowBlank="1" sqref="D2:D1000">
      <formula1>"SIM,NAO"</formula1>
    </dataValidation>
    <dataValidation type="list" allowBlank="1" sqref="E2:E1000">
      <formula1>"SIM,NAO"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8" customWidth="1"/>
    <col min="2" max="2" width="10" customWidth="1"/>
    <col min="3" max="3" width="30" customWidth="1"/>
    <col min="4" max="6" width="10" customWidth="1"/>
  </cols>
  <sheetData>
    <row r="1" spans="1:6" x14ac:dyDescent="0.25">
      <c r="A1" t="s">
        <v>0</v>
      </c>
      <c r="B1" t="s">
        <v>13</v>
      </c>
      <c r="C1" t="s">
        <v>14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15</v>
      </c>
      <c r="C2" t="s">
        <v>16</v>
      </c>
      <c r="D2">
        <v>1</v>
      </c>
      <c r="E2" t="s">
        <v>7</v>
      </c>
      <c r="F2" t="s">
        <v>8</v>
      </c>
    </row>
    <row r="3" spans="1:6" x14ac:dyDescent="0.25">
      <c r="A3" t="s">
        <v>5</v>
      </c>
      <c r="B3" t="s">
        <v>17</v>
      </c>
      <c r="C3" t="s">
        <v>18</v>
      </c>
      <c r="D3">
        <v>2</v>
      </c>
      <c r="E3" t="s">
        <v>7</v>
      </c>
      <c r="F3" t="s">
        <v>8</v>
      </c>
    </row>
    <row r="4" spans="1:6" x14ac:dyDescent="0.25">
      <c r="A4" t="s">
        <v>9</v>
      </c>
      <c r="B4" t="s">
        <v>19</v>
      </c>
      <c r="C4" t="s">
        <v>20</v>
      </c>
      <c r="D4">
        <v>1</v>
      </c>
      <c r="E4" t="s">
        <v>7</v>
      </c>
      <c r="F4" t="s">
        <v>8</v>
      </c>
    </row>
    <row r="5" spans="1:6" x14ac:dyDescent="0.25">
      <c r="A5" t="s">
        <v>9</v>
      </c>
      <c r="B5" t="s">
        <v>21</v>
      </c>
      <c r="C5" t="s">
        <v>22</v>
      </c>
      <c r="D5">
        <v>2</v>
      </c>
      <c r="E5" t="s">
        <v>7</v>
      </c>
      <c r="F5" t="s">
        <v>8</v>
      </c>
    </row>
    <row r="6" spans="1:6" x14ac:dyDescent="0.25">
      <c r="A6" t="s">
        <v>11</v>
      </c>
      <c r="B6" t="s">
        <v>23</v>
      </c>
      <c r="C6" t="s">
        <v>24</v>
      </c>
      <c r="D6">
        <v>1</v>
      </c>
      <c r="E6" t="s">
        <v>7</v>
      </c>
      <c r="F6" t="s">
        <v>8</v>
      </c>
    </row>
    <row r="7" spans="1:6" x14ac:dyDescent="0.25">
      <c r="A7" t="s">
        <v>11</v>
      </c>
      <c r="B7" t="s">
        <v>25</v>
      </c>
      <c r="C7" t="s">
        <v>26</v>
      </c>
      <c r="D7">
        <v>2</v>
      </c>
      <c r="E7" t="s">
        <v>7</v>
      </c>
      <c r="F7" t="s">
        <v>8</v>
      </c>
    </row>
  </sheetData>
  <dataValidations count="2">
    <dataValidation type="list" allowBlank="1" sqref="E2:E1000">
      <formula1>"SIM,NAO"</formula1>
    </dataValidation>
    <dataValidation type="list" allowBlank="1" sqref="F2:F1000">
      <formula1>"SIM,NAO"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8" customWidth="1"/>
    <col min="2" max="2" width="10" customWidth="1"/>
    <col min="3" max="3" width="12" customWidth="1"/>
    <col min="4" max="4" width="32" customWidth="1"/>
    <col min="5" max="7" width="10" customWidth="1"/>
  </cols>
  <sheetData>
    <row r="1" spans="1:7" x14ac:dyDescent="0.25">
      <c r="A1" t="s">
        <v>0</v>
      </c>
      <c r="B1" t="s">
        <v>13</v>
      </c>
      <c r="C1" t="s">
        <v>27</v>
      </c>
      <c r="D1" t="s">
        <v>28</v>
      </c>
      <c r="E1" t="s">
        <v>29</v>
      </c>
      <c r="F1" t="s">
        <v>3</v>
      </c>
      <c r="G1" t="s">
        <v>30</v>
      </c>
    </row>
    <row r="2" spans="1:7" x14ac:dyDescent="0.25">
      <c r="A2" t="s">
        <v>5</v>
      </c>
      <c r="B2" t="s">
        <v>15</v>
      </c>
      <c r="C2" t="s">
        <v>31</v>
      </c>
      <c r="D2" t="s">
        <v>32</v>
      </c>
      <c r="E2" t="s">
        <v>33</v>
      </c>
      <c r="F2" t="s">
        <v>7</v>
      </c>
      <c r="G2" t="s">
        <v>8</v>
      </c>
    </row>
    <row r="3" spans="1:7" x14ac:dyDescent="0.25">
      <c r="A3" t="s">
        <v>5</v>
      </c>
      <c r="B3" t="s">
        <v>15</v>
      </c>
      <c r="C3" t="s">
        <v>34</v>
      </c>
      <c r="D3" t="s">
        <v>35</v>
      </c>
      <c r="E3" t="s">
        <v>33</v>
      </c>
      <c r="F3" t="s">
        <v>7</v>
      </c>
      <c r="G3" t="s">
        <v>8</v>
      </c>
    </row>
    <row r="4" spans="1:7" x14ac:dyDescent="0.25">
      <c r="A4" t="s">
        <v>5</v>
      </c>
      <c r="B4" t="s">
        <v>17</v>
      </c>
      <c r="C4" t="s">
        <v>36</v>
      </c>
      <c r="D4" t="s">
        <v>37</v>
      </c>
      <c r="E4" t="s">
        <v>38</v>
      </c>
      <c r="F4" t="s">
        <v>7</v>
      </c>
      <c r="G4" t="s">
        <v>8</v>
      </c>
    </row>
    <row r="5" spans="1:7" x14ac:dyDescent="0.25">
      <c r="A5" t="s">
        <v>5</v>
      </c>
      <c r="B5" t="s">
        <v>17</v>
      </c>
      <c r="C5" t="s">
        <v>39</v>
      </c>
      <c r="D5" t="s">
        <v>40</v>
      </c>
      <c r="E5" t="s">
        <v>41</v>
      </c>
      <c r="F5" t="s">
        <v>7</v>
      </c>
      <c r="G5" t="s">
        <v>8</v>
      </c>
    </row>
    <row r="6" spans="1:7" x14ac:dyDescent="0.25">
      <c r="A6" t="s">
        <v>9</v>
      </c>
      <c r="B6" t="s">
        <v>19</v>
      </c>
      <c r="C6" t="s">
        <v>42</v>
      </c>
      <c r="D6" t="s">
        <v>43</v>
      </c>
      <c r="E6" t="s">
        <v>33</v>
      </c>
      <c r="F6" t="s">
        <v>7</v>
      </c>
      <c r="G6" t="s">
        <v>8</v>
      </c>
    </row>
    <row r="7" spans="1:7" x14ac:dyDescent="0.25">
      <c r="A7" t="s">
        <v>9</v>
      </c>
      <c r="B7" t="s">
        <v>19</v>
      </c>
      <c r="C7" t="s">
        <v>44</v>
      </c>
      <c r="D7" t="s">
        <v>45</v>
      </c>
      <c r="E7" t="s">
        <v>33</v>
      </c>
      <c r="F7" t="s">
        <v>7</v>
      </c>
      <c r="G7" t="s">
        <v>8</v>
      </c>
    </row>
    <row r="8" spans="1:7" x14ac:dyDescent="0.25">
      <c r="A8" t="s">
        <v>9</v>
      </c>
      <c r="B8" t="s">
        <v>21</v>
      </c>
      <c r="C8" t="s">
        <v>46</v>
      </c>
      <c r="D8" t="s">
        <v>47</v>
      </c>
      <c r="E8" t="s">
        <v>33</v>
      </c>
      <c r="F8" t="s">
        <v>7</v>
      </c>
      <c r="G8" t="s">
        <v>8</v>
      </c>
    </row>
    <row r="9" spans="1:7" x14ac:dyDescent="0.25">
      <c r="A9" t="s">
        <v>9</v>
      </c>
      <c r="B9" t="s">
        <v>21</v>
      </c>
      <c r="C9" t="s">
        <v>48</v>
      </c>
      <c r="D9" t="s">
        <v>49</v>
      </c>
      <c r="E9" t="s">
        <v>33</v>
      </c>
      <c r="F9" t="s">
        <v>7</v>
      </c>
      <c r="G9" t="s">
        <v>8</v>
      </c>
    </row>
    <row r="10" spans="1:7" x14ac:dyDescent="0.25">
      <c r="A10" t="s">
        <v>11</v>
      </c>
      <c r="B10" t="s">
        <v>23</v>
      </c>
      <c r="C10" t="s">
        <v>50</v>
      </c>
      <c r="D10" t="s">
        <v>51</v>
      </c>
      <c r="E10" t="s">
        <v>33</v>
      </c>
      <c r="F10" t="s">
        <v>7</v>
      </c>
      <c r="G10" t="s">
        <v>8</v>
      </c>
    </row>
    <row r="11" spans="1:7" x14ac:dyDescent="0.25">
      <c r="A11" t="s">
        <v>11</v>
      </c>
      <c r="B11" t="s">
        <v>23</v>
      </c>
      <c r="C11" t="s">
        <v>52</v>
      </c>
      <c r="D11" t="s">
        <v>53</v>
      </c>
      <c r="E11" t="s">
        <v>33</v>
      </c>
      <c r="F11" t="s">
        <v>7</v>
      </c>
      <c r="G11" t="s">
        <v>8</v>
      </c>
    </row>
    <row r="12" spans="1:7" x14ac:dyDescent="0.25">
      <c r="A12" t="s">
        <v>11</v>
      </c>
      <c r="B12" t="s">
        <v>25</v>
      </c>
      <c r="C12" t="s">
        <v>54</v>
      </c>
      <c r="D12" t="s">
        <v>55</v>
      </c>
      <c r="E12" t="s">
        <v>33</v>
      </c>
      <c r="F12" t="s">
        <v>7</v>
      </c>
      <c r="G12" t="s">
        <v>8</v>
      </c>
    </row>
    <row r="13" spans="1:7" x14ac:dyDescent="0.25">
      <c r="A13" t="s">
        <v>11</v>
      </c>
      <c r="B13" t="s">
        <v>25</v>
      </c>
      <c r="C13" t="s">
        <v>56</v>
      </c>
      <c r="D13" t="s">
        <v>57</v>
      </c>
      <c r="E13" t="s">
        <v>33</v>
      </c>
      <c r="F13" t="s">
        <v>7</v>
      </c>
      <c r="G13" t="s">
        <v>8</v>
      </c>
    </row>
  </sheetData>
  <dataValidations count="2">
    <dataValidation type="list" allowBlank="1" sqref="F2:F1000">
      <formula1>"SIM,NAO"</formula1>
    </dataValidation>
    <dataValidation type="list" allowBlank="1" sqref="G2:G1000">
      <formula1>"SIM,NAO"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12" customWidth="1"/>
    <col min="2" max="2" width="10" customWidth="1"/>
    <col min="3" max="3" width="12" customWidth="1"/>
  </cols>
  <sheetData>
    <row r="1" spans="1:3" x14ac:dyDescent="0.25">
      <c r="A1" t="s">
        <v>27</v>
      </c>
      <c r="B1" t="s">
        <v>58</v>
      </c>
      <c r="C1" t="s">
        <v>59</v>
      </c>
    </row>
    <row r="2" spans="1:3" x14ac:dyDescent="0.25">
      <c r="A2" t="s">
        <v>31</v>
      </c>
      <c r="B2">
        <v>0</v>
      </c>
      <c r="C2">
        <v>0</v>
      </c>
    </row>
    <row r="3" spans="1:3" x14ac:dyDescent="0.25">
      <c r="A3" t="s">
        <v>34</v>
      </c>
      <c r="B3">
        <v>0</v>
      </c>
      <c r="C3">
        <v>0</v>
      </c>
    </row>
    <row r="4" spans="1:3" x14ac:dyDescent="0.25">
      <c r="A4" t="s">
        <v>36</v>
      </c>
      <c r="B4">
        <v>0</v>
      </c>
      <c r="C4">
        <v>0</v>
      </c>
    </row>
    <row r="5" spans="1:3" x14ac:dyDescent="0.25">
      <c r="A5" t="s">
        <v>39</v>
      </c>
      <c r="B5">
        <v>0</v>
      </c>
      <c r="C5">
        <v>0</v>
      </c>
    </row>
    <row r="6" spans="1:3" x14ac:dyDescent="0.25">
      <c r="A6" t="s">
        <v>42</v>
      </c>
      <c r="B6">
        <v>0</v>
      </c>
      <c r="C6">
        <v>0</v>
      </c>
    </row>
    <row r="7" spans="1:3" x14ac:dyDescent="0.25">
      <c r="A7" t="s">
        <v>44</v>
      </c>
      <c r="B7">
        <v>0</v>
      </c>
      <c r="C7">
        <v>0</v>
      </c>
    </row>
    <row r="8" spans="1:3" x14ac:dyDescent="0.25">
      <c r="A8" t="s">
        <v>46</v>
      </c>
      <c r="B8">
        <v>0</v>
      </c>
      <c r="C8">
        <v>0</v>
      </c>
    </row>
    <row r="9" spans="1:3" x14ac:dyDescent="0.25">
      <c r="A9" t="s">
        <v>48</v>
      </c>
      <c r="B9">
        <v>0</v>
      </c>
      <c r="C9">
        <v>0</v>
      </c>
    </row>
    <row r="10" spans="1:3" x14ac:dyDescent="0.25">
      <c r="A10" t="s">
        <v>50</v>
      </c>
      <c r="B10">
        <v>0</v>
      </c>
      <c r="C10">
        <v>0</v>
      </c>
    </row>
    <row r="11" spans="1:3" x14ac:dyDescent="0.25">
      <c r="A11" t="s">
        <v>52</v>
      </c>
      <c r="B11">
        <v>0</v>
      </c>
      <c r="C11">
        <v>0</v>
      </c>
    </row>
    <row r="12" spans="1:3" x14ac:dyDescent="0.25">
      <c r="A12" t="s">
        <v>54</v>
      </c>
      <c r="B12">
        <v>0</v>
      </c>
      <c r="C12">
        <v>0</v>
      </c>
    </row>
    <row r="13" spans="1:3" x14ac:dyDescent="0.25">
      <c r="A13" t="s">
        <v>56</v>
      </c>
      <c r="B13">
        <v>0</v>
      </c>
      <c r="C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8" customWidth="1"/>
    <col min="2" max="2" width="28" customWidth="1"/>
    <col min="3" max="3" width="10" customWidth="1"/>
    <col min="4" max="4" width="30" customWidth="1"/>
    <col min="5" max="5" width="12" customWidth="1"/>
    <col min="6" max="6" width="32" customWidth="1"/>
    <col min="7" max="7" width="10" customWidth="1"/>
    <col min="8" max="8" width="10" style="1" customWidth="1"/>
    <col min="9" max="10" width="12" style="1" customWidth="1"/>
  </cols>
  <sheetData>
    <row r="1" spans="1:10" x14ac:dyDescent="0.25">
      <c r="A1" s="2" t="s">
        <v>0</v>
      </c>
      <c r="B1" s="2" t="s">
        <v>1</v>
      </c>
      <c r="C1" s="2" t="s">
        <v>13</v>
      </c>
      <c r="D1" s="2" t="s">
        <v>14</v>
      </c>
      <c r="E1" s="2" t="s">
        <v>27</v>
      </c>
      <c r="F1" s="2" t="s">
        <v>28</v>
      </c>
      <c r="G1" s="2" t="s">
        <v>29</v>
      </c>
      <c r="H1" s="3" t="s">
        <v>58</v>
      </c>
      <c r="I1" s="3" t="s">
        <v>60</v>
      </c>
      <c r="J1" s="3" t="s">
        <v>61</v>
      </c>
    </row>
    <row r="2" spans="1:10" x14ac:dyDescent="0.25">
      <c r="A2">
        <f>=SE(E2="";"";PROCX(E2#;tbCat[Code];tbCat[Cap]))</f>
      </c>
      <c r="B2">
        <f>=SE(E2="";"";PROCX(A2#;tbCap[Cap];tbCap[Capitulo]))</f>
      </c>
      <c r="C2">
        <f>=SE(E2="";"";PROCX(E2#;tbCat[Code];tbCat[Subcap]))</f>
      </c>
      <c r="D2">
        <f>=SE(E2="";"";PROCX(C2#;tbSub[Subcap];tbSub[Subcapitulo]))</f>
      </c>
      <c r="E2">
        <f>=SEERRO(LET(cap;tbCat[Cap];sub;tbCat[Subcap];code;tbCat[Code];use;tbCat[UseArt]="SIM";catAtivo;tbCat[Ativo]="SIM";capAtivo;PROCX(cap;tbCap[Cap];tbCap[Ativo])="SIM";capUsar;PROCX(cap;tbCap[Cap];tbCap[Usar])="SIM";subAtivo;PROCX(sub;tbSub[Subcap];tbSub[Ativo])="SIM";subUsar;PROCX(sub;tbSub[Subcap];tbSub[Usar])="SIM";mask;use*catAtivo*capAtivo*capUsar*subAtivo*subUsar;fCode;FILTRAR(code;mask);fCap;FILTRAR(cap;mask);fSub;FILTRAR(sub;mask);ORDENARPOR(fCode;fCap;1;fSub;1;fCode;1));"")</f>
      </c>
      <c r="F2">
        <f>=SE(E2="";"";PROCX(E2#;tbCat[Code];tbCat[Desc]))</f>
      </c>
      <c r="G2">
        <f>=SE(E2="";"";PROCX(E2#;tbCat[Code];tbCat[Unit]))</f>
      </c>
      <c r="H2" s="1">
        <f>=SE(E2="";"";PROCX(E2#;tbInp[Code];tbInp[Qty]))</f>
      </c>
      <c r="I2" s="1">
        <f>=SE(E2="";"";PROCX(E2#;tbInp[Code];tbInp[PU_EUR]))</f>
      </c>
      <c r="J2" s="1">
        <f>=SE(E2="";"";H2#*I2#)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Capitulos</vt:lpstr>
      <vt:lpstr>Subcapitulos</vt:lpstr>
      <vt:lpstr>Catalogo</vt:lpstr>
      <vt:lpstr>Input</vt:lpstr>
      <vt:lpstr>Orcamento_View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 Orcamento</dc:creator>
  <dc:title/>
  <dc:subject/>
  <dc:description/>
  <cp:keywords/>
  <cp:category/>
  <cp:lastModifiedBy>Unknown</cp:lastModifiedBy>
  <dcterms:created xsi:type="dcterms:W3CDTF">2026-02-01T19:02:43Z</dcterms:created>
  <dcterms:modified xsi:type="dcterms:W3CDTF">2026-02-01T19:02:43Z</dcterms:modified>
</cp:coreProperties>
</file>